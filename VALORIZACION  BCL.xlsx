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rover ch\OneDrive\Desktop\tinkuriquna\data imagenes\valorizacion\"/>
    </mc:Choice>
  </mc:AlternateContent>
  <xr:revisionPtr revIDLastSave="0" documentId="13_ncr:1_{ABE63A32-0485-43AF-A8BE-98E150550880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BCL-1613" sheetId="8" r:id="rId1"/>
    <sheet name="BCL-1615" sheetId="9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8" l="1"/>
  <c r="B21" i="8"/>
  <c r="E14" i="8"/>
  <c r="G11" i="8"/>
  <c r="G46" i="9" l="1"/>
  <c r="B33" i="9"/>
  <c r="B32" i="9"/>
  <c r="G32" i="9" s="1"/>
  <c r="B31" i="9"/>
  <c r="G31" i="9" s="1"/>
  <c r="B30" i="9"/>
  <c r="G30" i="9" s="1"/>
  <c r="B29" i="9"/>
  <c r="G29" i="9" s="1"/>
  <c r="B28" i="9"/>
  <c r="G28" i="9" s="1"/>
  <c r="B26" i="9"/>
  <c r="D25" i="9"/>
  <c r="G25" i="9" s="1"/>
  <c r="G21" i="9"/>
  <c r="B21" i="9"/>
  <c r="B20" i="9"/>
  <c r="E12" i="9"/>
  <c r="E13" i="9" s="1"/>
  <c r="B6" i="9"/>
  <c r="M3" i="9"/>
  <c r="G11" i="9" s="1"/>
  <c r="G20" i="9" s="1"/>
  <c r="G35" i="9" l="1"/>
  <c r="E14" i="9"/>
  <c r="G22" i="9"/>
  <c r="G36" i="9" s="1"/>
  <c r="E15" i="9" l="1"/>
  <c r="G37" i="9" l="1"/>
  <c r="I37" i="9" s="1"/>
  <c r="G38" i="9" l="1"/>
  <c r="G41" i="9"/>
  <c r="G43" i="9"/>
  <c r="G42" i="9"/>
  <c r="G40" i="9"/>
  <c r="G45" i="9" l="1"/>
  <c r="G44" i="9"/>
  <c r="G47" i="9" s="1"/>
  <c r="G48" i="9" s="1"/>
  <c r="G46" i="8" l="1"/>
  <c r="B33" i="8"/>
  <c r="B32" i="8"/>
  <c r="G32" i="8" s="1"/>
  <c r="B31" i="8"/>
  <c r="G31" i="8" s="1"/>
  <c r="B30" i="8"/>
  <c r="G30" i="8" s="1"/>
  <c r="B29" i="8"/>
  <c r="G29" i="8" s="1"/>
  <c r="B28" i="8"/>
  <c r="G28" i="8" s="1"/>
  <c r="B26" i="8"/>
  <c r="Q24" i="8"/>
  <c r="G21" i="8"/>
  <c r="B20" i="8"/>
  <c r="E12" i="8"/>
  <c r="E13" i="8" s="1"/>
  <c r="B6" i="8"/>
  <c r="M3" i="8"/>
  <c r="D25" i="8" s="1"/>
  <c r="G25" i="8" s="1"/>
  <c r="G35" i="8" l="1"/>
  <c r="G22" i="8"/>
  <c r="G36" i="8" s="1"/>
  <c r="E15" i="8" l="1"/>
  <c r="G37" i="8" l="1"/>
  <c r="I37" i="8" l="1"/>
  <c r="G43" i="8"/>
  <c r="G42" i="8"/>
  <c r="G40" i="8"/>
  <c r="G41" i="8"/>
  <c r="G38" i="8"/>
  <c r="G44" i="8" l="1"/>
  <c r="G47" i="8" s="1"/>
  <c r="G48" i="8" s="1"/>
  <c r="G45" i="8"/>
</calcChain>
</file>

<file path=xl/sharedStrings.xml><?xml version="1.0" encoding="utf-8"?>
<sst xmlns="http://schemas.openxmlformats.org/spreadsheetml/2006/main" count="148" uniqueCount="60">
  <si>
    <t>delux</t>
  </si>
  <si>
    <t>COT. OFICIAL</t>
  </si>
  <si>
    <t>ALÍCUOTAS</t>
  </si>
  <si>
    <t>FACTOR</t>
  </si>
  <si>
    <t xml:space="preserve">PLOMO </t>
  </si>
  <si>
    <t>Pb</t>
  </si>
  <si>
    <t>Ag</t>
  </si>
  <si>
    <t>Potosí:</t>
  </si>
  <si>
    <t>Proveedor:</t>
  </si>
  <si>
    <t>Lote:</t>
  </si>
  <si>
    <t>MINERALES</t>
  </si>
  <si>
    <t>LEYES:</t>
  </si>
  <si>
    <t>PESOS</t>
  </si>
  <si>
    <t>COTIZACIÓN LME:</t>
  </si>
  <si>
    <t>PHB</t>
  </si>
  <si>
    <t>Ag DM</t>
  </si>
  <si>
    <t>H2O</t>
  </si>
  <si>
    <t>As</t>
  </si>
  <si>
    <t>PSB</t>
  </si>
  <si>
    <t>Sb</t>
  </si>
  <si>
    <t>MERMA</t>
  </si>
  <si>
    <t>Bi</t>
  </si>
  <si>
    <t>PNS</t>
  </si>
  <si>
    <t>Sn</t>
  </si>
  <si>
    <t>SIO2</t>
  </si>
  <si>
    <t>PAGOS POR TM:</t>
  </si>
  <si>
    <t>TOTAL PAGOS:</t>
  </si>
  <si>
    <t>GASTOS DE TRATAMIENTO:</t>
  </si>
  <si>
    <t>Maquila</t>
  </si>
  <si>
    <t>ACTUAL</t>
  </si>
  <si>
    <t>BASE</t>
  </si>
  <si>
    <t>ESCALADOR</t>
  </si>
  <si>
    <t>Ajuste de maquila</t>
  </si>
  <si>
    <t>Gastos de refinación Ag</t>
  </si>
  <si>
    <t>10 dias libres</t>
  </si>
  <si>
    <t>PENALIDADES:</t>
  </si>
  <si>
    <t>LEYES</t>
  </si>
  <si>
    <t>LIBRE</t>
  </si>
  <si>
    <t>/TMS por cada</t>
  </si>
  <si>
    <t>TOTAL DEDUCCIONES:</t>
  </si>
  <si>
    <t>VALOR NETO TM:</t>
  </si>
  <si>
    <t>VALORACIÓN DEL LOTE:</t>
  </si>
  <si>
    <t xml:space="preserve">AL </t>
  </si>
  <si>
    <t>APORTES Y RETENCIONES:</t>
  </si>
  <si>
    <t>CNS</t>
  </si>
  <si>
    <t>COMIBOL</t>
  </si>
  <si>
    <t>FEDECOMIN</t>
  </si>
  <si>
    <t>FENCOMIN</t>
  </si>
  <si>
    <t>REGALÍA Pb</t>
  </si>
  <si>
    <t>REGALÍA Ag</t>
  </si>
  <si>
    <t>ROLLBACK</t>
  </si>
  <si>
    <t>LÍQUIDO PAGABLE:</t>
  </si>
  <si>
    <t>EXPRESADO EN BOLIVIANOS</t>
  </si>
  <si>
    <t>PREPARADO POR:</t>
  </si>
  <si>
    <t>APROBADO POR:</t>
  </si>
  <si>
    <t>INTERESADO:</t>
  </si>
  <si>
    <t>LIQUIDACION PROVISONAL</t>
  </si>
  <si>
    <t>Fe</t>
  </si>
  <si>
    <t>BCL-1615</t>
  </si>
  <si>
    <t>BCL-1613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</si>
</sst>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000"/>
    <numFmt numFmtId="165" formatCode="[$-F800]dddd\,\ mmmm\ dd\,\ yyyy"/>
    <numFmt numFmtId="166" formatCode="yyyy/mm/dd"/>
    <numFmt numFmtId="167" formatCode="_(* #,##0.00_);_(* \(#,##0.00\);_(* &quot;-&quot;??_);_(@_)"/>
    <numFmt numFmtId="168" formatCode="#,##0.000"/>
    <numFmt numFmtId="169" formatCode="#,##0.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2" tint="-0.749992370372631"/>
      <name val="Arial"/>
      <family val="2"/>
    </font>
    <font>
      <sz val="11"/>
      <color theme="2" tint="-0.749992370372631"/>
      <name val="Bauhaus 93"/>
      <family val="5"/>
    </font>
    <font>
      <sz val="11"/>
      <color rgb="FF000000"/>
      <name val="Arial Narrow"/>
      <family val="2"/>
    </font>
    <font>
      <sz val="11"/>
      <color rgb="FF000000"/>
      <name val="Arial"/>
      <family val="2"/>
    </font>
    <font>
      <b/>
      <sz val="10"/>
      <color rgb="FF000000"/>
      <name val="Arial Narrow"/>
      <family val="2"/>
    </font>
    <font>
      <sz val="11"/>
      <color rgb="FF00B0F0"/>
      <name val="Arial Narrow"/>
      <family val="2"/>
    </font>
    <font>
      <sz val="10"/>
      <color theme="2" tint="-0.749992370372631"/>
      <name val="Arial"/>
      <family val="2"/>
    </font>
    <font>
      <b/>
      <sz val="10"/>
      <color theme="2" tint="-0.749992370372631"/>
      <name val="Arial"/>
      <family val="2"/>
    </font>
    <font>
      <b/>
      <sz val="11"/>
      <color rgb="FF000000"/>
      <name val="Arial Narrow"/>
      <family val="2"/>
    </font>
    <font>
      <sz val="11"/>
      <color theme="2" tint="-0.749992370372631"/>
      <name val="Arial Narrow"/>
      <family val="2"/>
    </font>
    <font>
      <sz val="11"/>
      <color rgb="FFFF0000"/>
      <name val="Arial Narrow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8"/>
      <color theme="2" tint="-0.749992370372631"/>
      <name val="Baskerville Old Face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99">
    <xf numFmtId="0" fontId="0" fillId="0" borderId="0" xfId="0"/>
    <xf numFmtId="4" fontId="10" fillId="0" borderId="5" xfId="2" applyNumberFormat="1" applyFont="1" applyBorder="1"/>
    <xf numFmtId="4" fontId="9" fillId="0" borderId="16" xfId="2" applyNumberFormat="1" applyFont="1" applyBorder="1"/>
    <xf numFmtId="2" fontId="9" fillId="0" borderId="0" xfId="2" applyNumberFormat="1" applyFont="1" applyAlignment="1">
      <alignment horizontal="center"/>
    </xf>
    <xf numFmtId="2" fontId="9" fillId="0" borderId="0" xfId="2" applyNumberFormat="1" applyFont="1"/>
    <xf numFmtId="10" fontId="9" fillId="0" borderId="0" xfId="2" applyNumberFormat="1" applyFont="1"/>
    <xf numFmtId="2" fontId="9" fillId="0" borderId="16" xfId="2" applyNumberFormat="1" applyFont="1" applyBorder="1"/>
    <xf numFmtId="4" fontId="10" fillId="0" borderId="16" xfId="2" applyNumberFormat="1" applyFont="1" applyBorder="1"/>
    <xf numFmtId="10" fontId="9" fillId="0" borderId="10" xfId="2" applyNumberFormat="1" applyFont="1" applyBorder="1"/>
    <xf numFmtId="4" fontId="10" fillId="0" borderId="6" xfId="2" applyNumberFormat="1" applyFont="1" applyBorder="1"/>
    <xf numFmtId="0" fontId="18" fillId="0" borderId="6" xfId="2" applyFont="1" applyBorder="1" applyAlignment="1">
      <alignment horizontal="center"/>
    </xf>
    <xf numFmtId="0" fontId="3" fillId="0" borderId="0" xfId="2" applyFont="1"/>
    <xf numFmtId="0" fontId="4" fillId="0" borderId="0" xfId="2" applyFont="1"/>
    <xf numFmtId="0" fontId="5" fillId="0" borderId="0" xfId="2" applyFont="1"/>
    <xf numFmtId="0" fontId="6" fillId="0" borderId="0" xfId="2" applyFont="1"/>
    <xf numFmtId="0" fontId="7" fillId="0" borderId="0" xfId="2" applyFont="1"/>
    <xf numFmtId="169" fontId="16" fillId="0" borderId="0" xfId="0" applyNumberFormat="1" applyFont="1"/>
    <xf numFmtId="0" fontId="8" fillId="0" borderId="0" xfId="2" applyFont="1"/>
    <xf numFmtId="164" fontId="5" fillId="0" borderId="0" xfId="2" applyNumberFormat="1" applyFont="1"/>
    <xf numFmtId="0" fontId="9" fillId="0" borderId="0" xfId="2" applyFont="1"/>
    <xf numFmtId="165" fontId="9" fillId="0" borderId="0" xfId="2" applyNumberFormat="1" applyFont="1"/>
    <xf numFmtId="166" fontId="9" fillId="0" borderId="0" xfId="2" applyNumberFormat="1" applyFont="1"/>
    <xf numFmtId="0" fontId="10" fillId="0" borderId="0" xfId="2" applyFont="1"/>
    <xf numFmtId="0" fontId="10" fillId="0" borderId="1" xfId="2" applyFont="1" applyBorder="1" applyAlignment="1">
      <alignment horizontal="center"/>
    </xf>
    <xf numFmtId="0" fontId="10" fillId="0" borderId="3" xfId="2" applyFont="1" applyBorder="1"/>
    <xf numFmtId="0" fontId="9" fillId="0" borderId="4" xfId="2" applyFont="1" applyBorder="1"/>
    <xf numFmtId="0" fontId="9" fillId="0" borderId="5" xfId="2" applyFont="1" applyBorder="1" applyAlignment="1">
      <alignment horizontal="center"/>
    </xf>
    <xf numFmtId="4" fontId="9" fillId="0" borderId="6" xfId="2" applyNumberFormat="1" applyFont="1" applyBorder="1"/>
    <xf numFmtId="0" fontId="9" fillId="0" borderId="7" xfId="2" applyFont="1" applyBorder="1"/>
    <xf numFmtId="0" fontId="9" fillId="0" borderId="8" xfId="2" applyFont="1" applyBorder="1"/>
    <xf numFmtId="3" fontId="9" fillId="0" borderId="10" xfId="2" applyNumberFormat="1" applyFont="1" applyBorder="1"/>
    <xf numFmtId="0" fontId="9" fillId="0" borderId="9" xfId="2" applyFont="1" applyBorder="1"/>
    <xf numFmtId="0" fontId="9" fillId="0" borderId="6" xfId="2" applyFont="1" applyBorder="1" applyAlignment="1">
      <alignment horizontal="center"/>
    </xf>
    <xf numFmtId="0" fontId="9" fillId="0" borderId="10" xfId="2" applyFont="1" applyBorder="1"/>
    <xf numFmtId="0" fontId="9" fillId="0" borderId="11" xfId="2" applyFont="1" applyBorder="1"/>
    <xf numFmtId="4" fontId="11" fillId="0" borderId="0" xfId="2" applyNumberFormat="1" applyFont="1"/>
    <xf numFmtId="4" fontId="6" fillId="0" borderId="0" xfId="2" applyNumberFormat="1" applyFont="1"/>
    <xf numFmtId="167" fontId="9" fillId="0" borderId="6" xfId="2" applyNumberFormat="1" applyFont="1" applyBorder="1"/>
    <xf numFmtId="0" fontId="9" fillId="0" borderId="12" xfId="2" applyFont="1" applyBorder="1"/>
    <xf numFmtId="0" fontId="9" fillId="0" borderId="13" xfId="2" applyFont="1" applyBorder="1"/>
    <xf numFmtId="14" fontId="9" fillId="0" borderId="14" xfId="2" applyNumberFormat="1" applyFont="1" applyBorder="1"/>
    <xf numFmtId="0" fontId="9" fillId="0" borderId="15" xfId="2" applyFont="1" applyBorder="1"/>
    <xf numFmtId="0" fontId="9" fillId="0" borderId="16" xfId="2" applyFont="1" applyBorder="1"/>
    <xf numFmtId="4" fontId="5" fillId="0" borderId="0" xfId="2" applyNumberFormat="1" applyFont="1"/>
    <xf numFmtId="0" fontId="9" fillId="0" borderId="17" xfId="2" applyFont="1" applyBorder="1"/>
    <xf numFmtId="3" fontId="9" fillId="0" borderId="17" xfId="2" applyNumberFormat="1" applyFont="1" applyBorder="1"/>
    <xf numFmtId="9" fontId="0" fillId="0" borderId="0" xfId="0" applyNumberFormat="1"/>
    <xf numFmtId="0" fontId="9" fillId="0" borderId="11" xfId="2" applyFont="1" applyBorder="1" applyAlignment="1">
      <alignment horizontal="center"/>
    </xf>
    <xf numFmtId="0" fontId="9" fillId="0" borderId="18" xfId="2" applyFont="1" applyBorder="1"/>
    <xf numFmtId="3" fontId="9" fillId="0" borderId="8" xfId="2" applyNumberFormat="1" applyFont="1" applyBorder="1"/>
    <xf numFmtId="0" fontId="9" fillId="0" borderId="19" xfId="2" applyFont="1" applyBorder="1"/>
    <xf numFmtId="2" fontId="0" fillId="0" borderId="0" xfId="0" applyNumberFormat="1"/>
    <xf numFmtId="3" fontId="9" fillId="0" borderId="0" xfId="2" applyNumberFormat="1" applyFont="1"/>
    <xf numFmtId="0" fontId="9" fillId="0" borderId="20" xfId="2" applyFont="1" applyBorder="1" applyAlignment="1">
      <alignment horizontal="center"/>
    </xf>
    <xf numFmtId="167" fontId="9" fillId="0" borderId="21" xfId="2" applyNumberFormat="1" applyFont="1" applyBorder="1"/>
    <xf numFmtId="0" fontId="10" fillId="0" borderId="15" xfId="2" applyFont="1" applyBorder="1"/>
    <xf numFmtId="167" fontId="9" fillId="0" borderId="0" xfId="2" applyNumberFormat="1" applyFont="1"/>
    <xf numFmtId="4" fontId="9" fillId="0" borderId="0" xfId="2" applyNumberFormat="1" applyFont="1"/>
    <xf numFmtId="9" fontId="9" fillId="0" borderId="0" xfId="2" applyNumberFormat="1" applyFont="1"/>
    <xf numFmtId="2" fontId="5" fillId="0" borderId="0" xfId="2" applyNumberFormat="1" applyFont="1"/>
    <xf numFmtId="168" fontId="9" fillId="0" borderId="0" xfId="2" applyNumberFormat="1" applyFont="1"/>
    <xf numFmtId="4" fontId="15" fillId="0" borderId="0" xfId="2" applyNumberFormat="1" applyFont="1"/>
    <xf numFmtId="4" fontId="9" fillId="0" borderId="22" xfId="2" applyNumberFormat="1" applyFont="1" applyBorder="1"/>
    <xf numFmtId="168" fontId="5" fillId="0" borderId="0" xfId="2" applyNumberFormat="1" applyFont="1"/>
    <xf numFmtId="0" fontId="10" fillId="0" borderId="0" xfId="2" applyFont="1" applyAlignment="1">
      <alignment horizontal="right"/>
    </xf>
    <xf numFmtId="0" fontId="9" fillId="0" borderId="0" xfId="2" applyFont="1" applyAlignment="1">
      <alignment horizontal="center"/>
    </xf>
    <xf numFmtId="4" fontId="9" fillId="0" borderId="0" xfId="2" applyNumberFormat="1" applyFont="1" applyAlignment="1">
      <alignment horizontal="center"/>
    </xf>
    <xf numFmtId="4" fontId="12" fillId="0" borderId="0" xfId="2" applyNumberFormat="1" applyFont="1"/>
    <xf numFmtId="2" fontId="13" fillId="0" borderId="0" xfId="2" applyNumberFormat="1" applyFont="1"/>
    <xf numFmtId="0" fontId="9" fillId="0" borderId="15" xfId="2" applyFont="1" applyBorder="1" applyAlignment="1">
      <alignment horizontal="left"/>
    </xf>
    <xf numFmtId="0" fontId="18" fillId="0" borderId="15" xfId="2" applyFont="1" applyBorder="1" applyAlignment="1">
      <alignment horizontal="left"/>
    </xf>
    <xf numFmtId="0" fontId="9" fillId="0" borderId="3" xfId="2" applyFont="1" applyBorder="1"/>
    <xf numFmtId="0" fontId="9" fillId="0" borderId="2" xfId="2" applyFont="1" applyBorder="1"/>
    <xf numFmtId="4" fontId="10" fillId="0" borderId="4" xfId="2" applyNumberFormat="1" applyFont="1" applyBorder="1"/>
    <xf numFmtId="9" fontId="10" fillId="0" borderId="0" xfId="2" applyNumberFormat="1" applyFont="1"/>
    <xf numFmtId="43" fontId="5" fillId="0" borderId="0" xfId="1" applyFont="1" applyFill="1"/>
    <xf numFmtId="43" fontId="17" fillId="0" borderId="0" xfId="1" applyFont="1" applyFill="1"/>
    <xf numFmtId="10" fontId="9" fillId="0" borderId="0" xfId="2" applyNumberFormat="1" applyFont="1" applyAlignment="1">
      <alignment horizontal="center"/>
    </xf>
    <xf numFmtId="43" fontId="10" fillId="0" borderId="0" xfId="1" applyFont="1" applyFill="1" applyAlignment="1">
      <alignment horizontal="right"/>
    </xf>
    <xf numFmtId="43" fontId="0" fillId="0" borderId="0" xfId="1" applyFont="1" applyFill="1"/>
    <xf numFmtId="4" fontId="10" fillId="0" borderId="19" xfId="2" applyNumberFormat="1" applyFont="1" applyBorder="1"/>
    <xf numFmtId="0" fontId="9" fillId="0" borderId="23" xfId="2" applyFont="1" applyBorder="1"/>
    <xf numFmtId="0" fontId="9" fillId="0" borderId="24" xfId="2" applyFont="1" applyBorder="1"/>
    <xf numFmtId="0" fontId="14" fillId="0" borderId="0" xfId="2" applyFont="1"/>
    <xf numFmtId="4" fontId="14" fillId="0" borderId="0" xfId="2" applyNumberFormat="1" applyFont="1"/>
    <xf numFmtId="43" fontId="0" fillId="0" borderId="0" xfId="0" applyNumberFormat="1"/>
    <xf numFmtId="0" fontId="9" fillId="0" borderId="26" xfId="2" applyFont="1" applyBorder="1" applyAlignment="1">
      <alignment horizontal="center"/>
    </xf>
    <xf numFmtId="0" fontId="9" fillId="0" borderId="26" xfId="2" applyFont="1" applyBorder="1" applyAlignment="1">
      <alignment horizontal="left"/>
    </xf>
    <xf numFmtId="0" fontId="9" fillId="0" borderId="26" xfId="2" applyFont="1" applyBorder="1"/>
    <xf numFmtId="43" fontId="9" fillId="0" borderId="25" xfId="1" applyFont="1" applyFill="1" applyBorder="1"/>
    <xf numFmtId="4" fontId="9" fillId="0" borderId="27" xfId="2" applyNumberFormat="1" applyFont="1" applyBorder="1"/>
    <xf numFmtId="0" fontId="10" fillId="0" borderId="2" xfId="2" applyFont="1" applyBorder="1" applyAlignment="1">
      <alignment horizontal="right"/>
    </xf>
    <xf numFmtId="0" fontId="10" fillId="0" borderId="8" xfId="2" applyFont="1" applyBorder="1" applyAlignment="1">
      <alignment horizontal="right"/>
    </xf>
    <xf numFmtId="0" fontId="9" fillId="0" borderId="26" xfId="2" applyFont="1" applyBorder="1" applyAlignment="1">
      <alignment horizontal="center"/>
    </xf>
    <xf numFmtId="0" fontId="19" fillId="0" borderId="0" xfId="2" applyFont="1" applyAlignment="1">
      <alignment horizontal="center"/>
    </xf>
    <xf numFmtId="165" fontId="9" fillId="0" borderId="0" xfId="2" applyNumberFormat="1" applyFont="1" applyAlignment="1">
      <alignment horizontal="left"/>
    </xf>
    <xf numFmtId="0" fontId="10" fillId="0" borderId="2" xfId="2" applyFont="1" applyBorder="1" applyAlignment="1">
      <alignment horizontal="center"/>
    </xf>
    <xf numFmtId="0" fontId="10" fillId="0" borderId="0" xfId="2" applyFont="1" applyAlignment="1">
      <alignment horizontal="right"/>
    </xf>
    <xf numFmtId="0" fontId="10" fillId="0" borderId="0" xfId="2" applyFont="1" applyAlignment="1">
      <alignment horizontal="center"/>
    </xf>
  </cellXfs>
  <cellStyles count="3">
    <cellStyle name="Millares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activeCell="K17" sqref="K17"/>
    </sheetView>
  </sheetViews>
  <sheetFormatPr baseColWidth="10" defaultColWidth="11.44140625" defaultRowHeight="15.05" x14ac:dyDescent="0.3"/>
  <cols>
    <col min="1" max="1" width="26.44140625" customWidth="1"/>
    <col min="2" max="2" width="10.5546875" customWidth="1"/>
    <col min="3" max="3" width="7.88671875" customWidth="1"/>
    <col min="4" max="4" width="8.6640625" customWidth="1"/>
    <col min="5" max="5" width="13.44140625" customWidth="1"/>
    <col min="6" max="6" width="10.33203125" customWidth="1"/>
    <col min="7" max="7" width="12.88671875" customWidth="1"/>
    <col min="8" max="8" width="4.33203125" customWidth="1"/>
    <col min="9" max="9" width="12.44140625" customWidth="1"/>
    <col min="10" max="10" width="8.5546875" customWidth="1"/>
    <col min="11" max="11" width="11.6640625" customWidth="1"/>
    <col min="12" max="13" width="9.44140625" customWidth="1"/>
    <col min="15" max="15" width="14.109375" customWidth="1"/>
    <col min="18" max="18" width="10.33203125" customWidth="1"/>
  </cols>
  <sheetData>
    <row r="1" spans="1:18" ht="17.05" x14ac:dyDescent="0.35">
      <c r="A1" s="11"/>
      <c r="B1" s="12" t="s">
        <v>0</v>
      </c>
      <c r="C1" s="11"/>
      <c r="D1" s="11"/>
      <c r="E1" s="11"/>
      <c r="F1" s="11"/>
      <c r="G1" s="11"/>
      <c r="H1" s="13"/>
      <c r="I1" s="13"/>
      <c r="J1" s="13"/>
      <c r="K1" s="13"/>
      <c r="L1" s="14"/>
      <c r="M1" s="14"/>
    </row>
    <row r="2" spans="1:18" x14ac:dyDescent="0.3">
      <c r="A2" s="11"/>
      <c r="B2" s="11"/>
      <c r="C2" s="11"/>
      <c r="D2" s="11"/>
      <c r="E2" s="11"/>
      <c r="F2" s="11"/>
      <c r="G2" s="11"/>
      <c r="H2" s="13"/>
      <c r="I2" s="15" t="s">
        <v>1</v>
      </c>
      <c r="J2" s="15" t="s">
        <v>2</v>
      </c>
      <c r="K2" s="15" t="s">
        <v>3</v>
      </c>
      <c r="L2" s="14" t="s">
        <v>4</v>
      </c>
      <c r="M2" s="14"/>
    </row>
    <row r="3" spans="1:18" x14ac:dyDescent="0.3">
      <c r="A3" s="11"/>
      <c r="B3" s="11"/>
      <c r="C3" s="11"/>
      <c r="D3" s="11"/>
      <c r="E3" s="11"/>
      <c r="F3" s="11"/>
      <c r="G3" s="11"/>
      <c r="H3" s="13" t="s">
        <v>5</v>
      </c>
      <c r="I3" s="16">
        <v>1.3948</v>
      </c>
      <c r="J3" s="17">
        <v>5</v>
      </c>
      <c r="K3" s="18">
        <v>2.2046223</v>
      </c>
      <c r="L3" s="14">
        <v>0.87951999999999997</v>
      </c>
      <c r="M3" s="14">
        <f>L3*K3*1000</f>
        <v>1939.0094052959998</v>
      </c>
    </row>
    <row r="4" spans="1:18" x14ac:dyDescent="0.3">
      <c r="A4" s="11"/>
      <c r="B4" s="11"/>
      <c r="C4" s="11"/>
      <c r="D4" s="11"/>
      <c r="E4" s="11"/>
      <c r="F4" s="11"/>
      <c r="G4" s="11"/>
      <c r="H4" s="13" t="s">
        <v>6</v>
      </c>
      <c r="I4" s="17">
        <v>27.53</v>
      </c>
      <c r="J4" s="17">
        <v>6</v>
      </c>
      <c r="K4" s="18">
        <v>31.1035</v>
      </c>
      <c r="L4" s="14"/>
      <c r="M4" s="14"/>
    </row>
    <row r="5" spans="1:18" ht="23.6" x14ac:dyDescent="0.4">
      <c r="A5" s="94" t="s">
        <v>56</v>
      </c>
      <c r="B5" s="94"/>
      <c r="C5" s="94"/>
      <c r="D5" s="94"/>
      <c r="E5" s="94"/>
      <c r="F5" s="94"/>
      <c r="G5" s="94"/>
      <c r="H5" s="13"/>
      <c r="I5" s="13"/>
      <c r="J5" s="13"/>
      <c r="K5" s="13"/>
      <c r="L5" s="14"/>
      <c r="M5" s="14"/>
    </row>
    <row r="6" spans="1:18" x14ac:dyDescent="0.3">
      <c r="A6" s="19" t="s">
        <v>7</v>
      </c>
      <c r="B6" s="95">
        <f ca="1">+TODAY()</f>
        <v>46239</v>
      </c>
      <c r="C6" s="95"/>
      <c r="D6" s="95"/>
      <c r="E6" s="95"/>
      <c r="F6" s="95"/>
      <c r="G6" s="20"/>
      <c r="H6" s="13"/>
      <c r="I6" s="13"/>
      <c r="J6" s="13"/>
      <c r="K6" s="13"/>
      <c r="L6" s="14"/>
      <c r="M6" s="14"/>
    </row>
    <row r="7" spans="1:18" x14ac:dyDescent="0.3">
      <c r="A7" s="19" t="s">
        <v>8</v>
      </c>
      <c r="B7" s="21"/>
      <c r="C7" s="19"/>
      <c r="D7" s="19"/>
      <c r="E7" s="19"/>
      <c r="F7" s="19"/>
      <c r="G7" s="19"/>
      <c r="H7" s="13"/>
      <c r="I7" s="13"/>
      <c r="J7" s="13"/>
      <c r="K7" s="13"/>
      <c r="L7" s="14"/>
      <c r="M7" s="14"/>
    </row>
    <row r="8" spans="1:18" x14ac:dyDescent="0.3">
      <c r="A8" s="19" t="s">
        <v>9</v>
      </c>
      <c r="B8" s="22" t="s">
        <v>59</v>
      </c>
      <c r="C8" s="19"/>
      <c r="D8" s="19"/>
      <c r="E8" s="19"/>
      <c r="F8" s="19"/>
      <c r="G8" s="19"/>
      <c r="H8" s="13"/>
      <c r="I8" s="13"/>
      <c r="J8" s="13"/>
      <c r="K8" s="13"/>
      <c r="L8" s="14"/>
      <c r="M8" s="14"/>
    </row>
    <row r="9" spans="1:18" x14ac:dyDescent="0.3">
      <c r="A9" s="19"/>
      <c r="B9" s="19"/>
      <c r="C9" s="19"/>
      <c r="D9" s="19"/>
      <c r="E9" s="19"/>
      <c r="F9" s="19"/>
      <c r="G9" s="19"/>
      <c r="H9" s="13"/>
      <c r="I9" s="13"/>
      <c r="J9" s="13"/>
      <c r="K9" s="13"/>
      <c r="L9" s="14"/>
      <c r="M9" s="14"/>
    </row>
    <row r="10" spans="1:18" x14ac:dyDescent="0.3">
      <c r="A10" s="23" t="s">
        <v>10</v>
      </c>
      <c r="B10" s="23" t="s">
        <v>11</v>
      </c>
      <c r="C10" s="96" t="s">
        <v>12</v>
      </c>
      <c r="D10" s="96"/>
      <c r="E10" s="96"/>
      <c r="F10" s="24" t="s">
        <v>13</v>
      </c>
      <c r="G10" s="25"/>
      <c r="H10" s="13"/>
      <c r="I10" s="13"/>
      <c r="J10" s="13"/>
      <c r="K10" s="13"/>
      <c r="L10" s="14"/>
      <c r="M10" s="14"/>
    </row>
    <row r="11" spans="1:18" x14ac:dyDescent="0.3">
      <c r="A11" s="26" t="s">
        <v>5</v>
      </c>
      <c r="B11" s="27">
        <v>31.42</v>
      </c>
      <c r="C11" s="28" t="s">
        <v>14</v>
      </c>
      <c r="D11" s="29"/>
      <c r="E11" s="30">
        <v>2860</v>
      </c>
      <c r="F11" s="31" t="s">
        <v>5</v>
      </c>
      <c r="G11" s="1">
        <f>+M3</f>
        <v>1939.0094052959998</v>
      </c>
      <c r="H11" s="13"/>
      <c r="I11" s="27"/>
      <c r="J11" s="13"/>
      <c r="K11" s="13"/>
      <c r="L11" s="14"/>
      <c r="M11" s="14"/>
    </row>
    <row r="12" spans="1:18" x14ac:dyDescent="0.3">
      <c r="A12" s="32" t="s">
        <v>15</v>
      </c>
      <c r="B12" s="27">
        <v>117.01</v>
      </c>
      <c r="C12" s="33" t="s">
        <v>16</v>
      </c>
      <c r="D12" s="8">
        <v>9.3399999999999997E-2</v>
      </c>
      <c r="E12" s="30">
        <f>+E11*D12</f>
        <v>267.12399999999997</v>
      </c>
      <c r="F12" s="34" t="s">
        <v>6</v>
      </c>
      <c r="G12" s="9">
        <v>76.45</v>
      </c>
      <c r="H12" s="13"/>
      <c r="I12" s="27"/>
      <c r="J12" s="13"/>
      <c r="K12" s="35"/>
      <c r="L12" s="36"/>
      <c r="M12" s="36"/>
    </row>
    <row r="13" spans="1:18" x14ac:dyDescent="0.3">
      <c r="A13" s="32" t="s">
        <v>17</v>
      </c>
      <c r="B13" s="37">
        <v>0</v>
      </c>
      <c r="C13" s="33" t="s">
        <v>18</v>
      </c>
      <c r="D13" s="38">
        <v>0</v>
      </c>
      <c r="E13" s="30">
        <f>+E11-E12</f>
        <v>2592.8760000000002</v>
      </c>
      <c r="F13" s="39"/>
      <c r="G13" s="40"/>
      <c r="H13" s="13"/>
      <c r="I13" s="13"/>
      <c r="J13" s="13"/>
      <c r="K13" s="35"/>
      <c r="L13" s="14"/>
      <c r="M13" s="14"/>
    </row>
    <row r="14" spans="1:18" x14ac:dyDescent="0.3">
      <c r="A14" s="32" t="s">
        <v>19</v>
      </c>
      <c r="B14" s="37">
        <v>0</v>
      </c>
      <c r="C14" s="33" t="s">
        <v>20</v>
      </c>
      <c r="D14" s="8">
        <v>0</v>
      </c>
      <c r="E14" s="30">
        <f>+E13*D14</f>
        <v>0</v>
      </c>
      <c r="F14" s="41"/>
      <c r="G14" s="42"/>
      <c r="H14" s="13"/>
      <c r="I14" s="13"/>
      <c r="J14" s="13"/>
      <c r="K14" s="43"/>
      <c r="L14" s="14"/>
      <c r="M14" s="14"/>
    </row>
    <row r="15" spans="1:18" x14ac:dyDescent="0.3">
      <c r="A15" s="10" t="s">
        <v>21</v>
      </c>
      <c r="B15" s="37">
        <v>0</v>
      </c>
      <c r="C15" s="44" t="s">
        <v>22</v>
      </c>
      <c r="D15" s="44"/>
      <c r="E15" s="45">
        <f>+E13-E14</f>
        <v>2592.8760000000002</v>
      </c>
      <c r="F15" s="41"/>
      <c r="G15" s="42"/>
      <c r="H15" s="13"/>
      <c r="I15" s="13"/>
      <c r="J15" s="13"/>
      <c r="K15" s="13"/>
      <c r="L15" s="14"/>
      <c r="M15" s="14"/>
      <c r="R15" s="46"/>
    </row>
    <row r="16" spans="1:18" x14ac:dyDescent="0.3">
      <c r="A16" s="47" t="s">
        <v>23</v>
      </c>
      <c r="B16" s="37">
        <v>0</v>
      </c>
      <c r="C16" s="48"/>
      <c r="D16" s="29"/>
      <c r="E16" s="49"/>
      <c r="F16" s="29"/>
      <c r="G16" s="50"/>
      <c r="H16" s="13"/>
      <c r="I16" s="13"/>
      <c r="J16" s="13"/>
      <c r="K16" s="13"/>
      <c r="L16" s="14"/>
      <c r="M16" s="14"/>
      <c r="R16" s="51"/>
    </row>
    <row r="17" spans="1:17" x14ac:dyDescent="0.3">
      <c r="A17" s="47" t="s">
        <v>57</v>
      </c>
      <c r="B17" s="37">
        <v>0</v>
      </c>
      <c r="C17" s="19"/>
      <c r="D17" s="19"/>
      <c r="E17" s="52"/>
      <c r="F17" s="19"/>
      <c r="G17" s="42"/>
      <c r="H17" s="13"/>
      <c r="I17" s="13"/>
      <c r="J17" s="13"/>
      <c r="K17" s="13"/>
      <c r="L17" s="14"/>
      <c r="M17" s="14"/>
    </row>
    <row r="18" spans="1:17" x14ac:dyDescent="0.3">
      <c r="A18" s="53" t="s">
        <v>24</v>
      </c>
      <c r="B18" s="54">
        <v>0</v>
      </c>
      <c r="C18" s="19"/>
      <c r="D18" s="19"/>
      <c r="E18" s="52"/>
      <c r="F18" s="19"/>
      <c r="G18" s="42"/>
      <c r="H18" s="13"/>
      <c r="I18" s="13"/>
      <c r="J18" s="13"/>
      <c r="K18" s="13"/>
      <c r="L18" s="14"/>
      <c r="M18" s="14"/>
    </row>
    <row r="19" spans="1:17" x14ac:dyDescent="0.3">
      <c r="A19" s="55" t="s">
        <v>25</v>
      </c>
      <c r="B19" s="19"/>
      <c r="C19" s="19"/>
      <c r="D19" s="19"/>
      <c r="E19" s="19"/>
      <c r="F19" s="19"/>
      <c r="G19" s="42"/>
      <c r="H19" s="13"/>
      <c r="I19" s="13"/>
      <c r="J19" s="13"/>
      <c r="K19" s="13"/>
      <c r="L19" s="13"/>
      <c r="M19" s="13"/>
    </row>
    <row r="20" spans="1:17" x14ac:dyDescent="0.3">
      <c r="A20" s="41" t="s">
        <v>5</v>
      </c>
      <c r="B20" s="56">
        <f>B11</f>
        <v>31.42</v>
      </c>
      <c r="C20" s="19"/>
      <c r="D20" s="57">
        <v>-8</v>
      </c>
      <c r="E20" s="58">
        <v>0.8</v>
      </c>
      <c r="F20" s="19"/>
      <c r="G20" s="90">
        <f>+(B20+D20)*G11/100</f>
        <v>454.11600272032325</v>
      </c>
      <c r="H20" s="13"/>
      <c r="I20" s="59"/>
      <c r="J20" s="13"/>
      <c r="K20" s="13"/>
      <c r="L20" s="13"/>
      <c r="M20" s="13"/>
      <c r="P20" s="46"/>
    </row>
    <row r="21" spans="1:17" x14ac:dyDescent="0.3">
      <c r="A21" s="41" t="s">
        <v>6</v>
      </c>
      <c r="B21" s="60">
        <f>ROUND(B12/K4*100,3)</f>
        <v>376.19600000000003</v>
      </c>
      <c r="C21" s="61">
        <v>-1E-4</v>
      </c>
      <c r="D21" s="57">
        <v>-0.05</v>
      </c>
      <c r="E21" s="58">
        <v>0.83</v>
      </c>
      <c r="F21" s="19"/>
      <c r="G21" s="62">
        <f>((B12/K4*100)+D21)*E21*G12</f>
        <v>23867.755146627787</v>
      </c>
      <c r="H21" s="13"/>
      <c r="I21" s="59"/>
      <c r="J21" s="63"/>
      <c r="K21" s="13"/>
      <c r="L21" s="13"/>
      <c r="M21" s="13"/>
    </row>
    <row r="22" spans="1:17" x14ac:dyDescent="0.3">
      <c r="A22" s="41"/>
      <c r="B22" s="19"/>
      <c r="C22" s="19"/>
      <c r="D22" s="19"/>
      <c r="E22" s="97" t="s">
        <v>26</v>
      </c>
      <c r="F22" s="97"/>
      <c r="G22" s="7">
        <f>SUM(G20:G21)</f>
        <v>24321.87114934811</v>
      </c>
      <c r="H22" s="43"/>
      <c r="I22" s="13"/>
      <c r="J22" s="13"/>
      <c r="K22" s="13"/>
      <c r="L22" s="13"/>
      <c r="M22" s="13"/>
    </row>
    <row r="23" spans="1:17" x14ac:dyDescent="0.3">
      <c r="A23" s="55" t="s">
        <v>27</v>
      </c>
      <c r="B23" s="19"/>
      <c r="C23" s="19"/>
      <c r="D23" s="19"/>
      <c r="E23" s="19"/>
      <c r="F23" s="19"/>
      <c r="G23" s="42"/>
      <c r="H23" s="13"/>
      <c r="I23" s="13"/>
      <c r="J23" s="13"/>
      <c r="K23" s="13"/>
      <c r="L23" s="13"/>
      <c r="M23" s="13"/>
    </row>
    <row r="24" spans="1:17" x14ac:dyDescent="0.3">
      <c r="A24" s="41" t="s">
        <v>28</v>
      </c>
      <c r="B24" s="65" t="s">
        <v>29</v>
      </c>
      <c r="C24" s="65" t="s">
        <v>30</v>
      </c>
      <c r="D24" s="65"/>
      <c r="E24" s="65" t="s">
        <v>31</v>
      </c>
      <c r="F24" s="65"/>
      <c r="G24" s="2">
        <v>0</v>
      </c>
      <c r="H24" s="13"/>
      <c r="I24" s="59"/>
      <c r="J24" s="13"/>
      <c r="K24" s="13"/>
      <c r="L24" s="13"/>
      <c r="M24" s="13"/>
      <c r="Q24">
        <f>88*2</f>
        <v>176</v>
      </c>
    </row>
    <row r="25" spans="1:17" x14ac:dyDescent="0.3">
      <c r="A25" s="41" t="s">
        <v>32</v>
      </c>
      <c r="B25" s="66">
        <v>0</v>
      </c>
      <c r="C25" s="66">
        <v>0</v>
      </c>
      <c r="D25" s="67">
        <f>B25-C25</f>
        <v>0</v>
      </c>
      <c r="E25" s="65">
        <v>0.15</v>
      </c>
      <c r="F25" s="65"/>
      <c r="G25" s="2">
        <f>E25*D25</f>
        <v>0</v>
      </c>
      <c r="H25" s="13"/>
      <c r="I25" s="13"/>
      <c r="J25" s="13"/>
      <c r="K25" s="13"/>
      <c r="L25" s="13"/>
      <c r="M25" s="13"/>
    </row>
    <row r="26" spans="1:17" hidden="1" x14ac:dyDescent="0.3">
      <c r="A26" s="41" t="s">
        <v>33</v>
      </c>
      <c r="B26" s="57">
        <f>+B12/K4*100+D21</f>
        <v>376.14560499622229</v>
      </c>
      <c r="C26" s="19"/>
      <c r="D26" s="57">
        <v>0</v>
      </c>
      <c r="E26" s="19"/>
      <c r="F26" s="19"/>
      <c r="G26" s="2">
        <v>0</v>
      </c>
      <c r="H26" s="13"/>
      <c r="I26" s="43"/>
      <c r="J26" s="13"/>
      <c r="K26" s="13"/>
      <c r="L26" s="13"/>
      <c r="M26" s="13"/>
      <c r="Q26" t="s">
        <v>34</v>
      </c>
    </row>
    <row r="27" spans="1:17" x14ac:dyDescent="0.3">
      <c r="A27" s="55" t="s">
        <v>35</v>
      </c>
      <c r="B27" s="65" t="s">
        <v>36</v>
      </c>
      <c r="C27" s="65" t="s">
        <v>37</v>
      </c>
      <c r="D27" s="19"/>
      <c r="E27" s="19"/>
      <c r="F27" s="19"/>
      <c r="G27" s="42"/>
      <c r="H27" s="13"/>
      <c r="I27" s="68"/>
      <c r="J27" s="13"/>
      <c r="K27" s="13"/>
      <c r="L27" s="13"/>
      <c r="M27" s="13"/>
    </row>
    <row r="28" spans="1:17" x14ac:dyDescent="0.3">
      <c r="A28" s="69" t="s">
        <v>17</v>
      </c>
      <c r="B28" s="3">
        <f>+B13</f>
        <v>0</v>
      </c>
      <c r="C28" s="3">
        <v>0.4</v>
      </c>
      <c r="D28" s="4">
        <v>2.5</v>
      </c>
      <c r="E28" s="19" t="s">
        <v>38</v>
      </c>
      <c r="F28" s="5">
        <v>1E-3</v>
      </c>
      <c r="G28" s="6">
        <f t="shared" ref="G28:G32" si="0">IF(B28&gt;C28,((B28-C28)*D28)/F28/100,)</f>
        <v>0</v>
      </c>
      <c r="H28" s="13"/>
      <c r="I28" s="13"/>
      <c r="J28" s="13"/>
      <c r="K28" s="13"/>
      <c r="L28" s="13"/>
      <c r="M28" s="13"/>
    </row>
    <row r="29" spans="1:17" x14ac:dyDescent="0.3">
      <c r="A29" s="69" t="s">
        <v>19</v>
      </c>
      <c r="B29" s="3">
        <f>+B16</f>
        <v>0</v>
      </c>
      <c r="C29" s="3">
        <v>0.4</v>
      </c>
      <c r="D29" s="4">
        <v>2.5</v>
      </c>
      <c r="E29" s="19" t="s">
        <v>38</v>
      </c>
      <c r="F29" s="5">
        <v>1E-3</v>
      </c>
      <c r="G29" s="6">
        <f t="shared" si="0"/>
        <v>0</v>
      </c>
      <c r="H29" s="13"/>
      <c r="I29" s="13"/>
      <c r="J29" s="13"/>
      <c r="K29" s="13"/>
      <c r="L29" s="13"/>
      <c r="M29" s="13"/>
    </row>
    <row r="30" spans="1:17" hidden="1" x14ac:dyDescent="0.3">
      <c r="A30" s="70" t="s">
        <v>21</v>
      </c>
      <c r="B30" s="3">
        <f>+B14</f>
        <v>0</v>
      </c>
      <c r="C30" s="3">
        <v>0.4</v>
      </c>
      <c r="D30" s="4">
        <v>2.5</v>
      </c>
      <c r="E30" s="19" t="s">
        <v>38</v>
      </c>
      <c r="F30" s="5">
        <v>1E-3</v>
      </c>
      <c r="G30" s="6">
        <f t="shared" si="0"/>
        <v>0</v>
      </c>
      <c r="H30" s="13"/>
      <c r="I30" s="13"/>
      <c r="J30" s="13"/>
      <c r="K30" s="13"/>
      <c r="L30" s="13"/>
      <c r="M30" s="13"/>
    </row>
    <row r="31" spans="1:17" x14ac:dyDescent="0.3">
      <c r="A31" s="69" t="s">
        <v>23</v>
      </c>
      <c r="B31" s="3">
        <f>+B16</f>
        <v>0</v>
      </c>
      <c r="C31" s="3">
        <v>0.4</v>
      </c>
      <c r="D31" s="4">
        <v>2.5</v>
      </c>
      <c r="E31" s="19" t="s">
        <v>38</v>
      </c>
      <c r="F31" s="5">
        <v>1E-3</v>
      </c>
      <c r="G31" s="6">
        <f t="shared" si="0"/>
        <v>0</v>
      </c>
      <c r="H31" s="13"/>
      <c r="I31" s="13"/>
      <c r="J31" s="13"/>
      <c r="K31" s="13"/>
      <c r="L31" s="13"/>
      <c r="M31" s="13"/>
    </row>
    <row r="32" spans="1:17" x14ac:dyDescent="0.3">
      <c r="A32" s="69" t="s">
        <v>57</v>
      </c>
      <c r="B32" s="3">
        <f>+B17</f>
        <v>0</v>
      </c>
      <c r="C32" s="3">
        <v>7</v>
      </c>
      <c r="D32" s="4">
        <v>2.5</v>
      </c>
      <c r="E32" s="19" t="s">
        <v>38</v>
      </c>
      <c r="F32" s="5">
        <v>0.01</v>
      </c>
      <c r="G32" s="6">
        <f t="shared" si="0"/>
        <v>0</v>
      </c>
      <c r="H32" s="13"/>
      <c r="I32" s="13"/>
      <c r="J32" s="13"/>
      <c r="K32" s="13"/>
      <c r="L32" s="13"/>
      <c r="M32" s="13"/>
    </row>
    <row r="33" spans="1:15" x14ac:dyDescent="0.3">
      <c r="A33" s="69" t="s">
        <v>24</v>
      </c>
      <c r="B33" s="3">
        <f>+B18</f>
        <v>0</v>
      </c>
      <c r="C33" s="3">
        <v>3</v>
      </c>
      <c r="D33" s="4">
        <v>2.5</v>
      </c>
      <c r="E33" s="19" t="s">
        <v>38</v>
      </c>
      <c r="F33" s="5">
        <v>0.01</v>
      </c>
      <c r="G33" s="6">
        <v>0</v>
      </c>
      <c r="H33" s="13"/>
      <c r="I33" s="13"/>
      <c r="J33" s="13"/>
      <c r="K33" s="13"/>
      <c r="L33" s="13"/>
      <c r="M33" s="13"/>
    </row>
    <row r="34" spans="1:15" x14ac:dyDescent="0.3">
      <c r="A34" s="41"/>
      <c r="B34" s="3"/>
      <c r="C34" s="3"/>
      <c r="D34" s="4"/>
      <c r="E34" s="19"/>
      <c r="F34" s="5"/>
      <c r="G34" s="6"/>
      <c r="H34" s="13"/>
      <c r="I34" s="13"/>
      <c r="J34" s="13"/>
      <c r="K34" s="13"/>
      <c r="L34" s="13"/>
      <c r="M34" s="13"/>
    </row>
    <row r="35" spans="1:15" x14ac:dyDescent="0.3">
      <c r="A35" s="41"/>
      <c r="B35" s="19"/>
      <c r="C35" s="19"/>
      <c r="D35" s="19"/>
      <c r="E35" s="98" t="s">
        <v>39</v>
      </c>
      <c r="F35" s="98"/>
      <c r="G35" s="7">
        <f>+SUM(G24:G33)</f>
        <v>0</v>
      </c>
      <c r="H35" s="13"/>
      <c r="I35" s="59"/>
      <c r="J35" s="13"/>
      <c r="K35" s="13"/>
      <c r="L35" s="13"/>
      <c r="M35" s="13"/>
    </row>
    <row r="36" spans="1:15" x14ac:dyDescent="0.3">
      <c r="A36" s="71"/>
      <c r="B36" s="72"/>
      <c r="C36" s="72"/>
      <c r="D36" s="72"/>
      <c r="E36" s="91" t="s">
        <v>40</v>
      </c>
      <c r="F36" s="91"/>
      <c r="G36" s="73">
        <f>G22-G35</f>
        <v>24321.87114934811</v>
      </c>
      <c r="H36" s="43"/>
      <c r="I36" s="43"/>
      <c r="J36" s="13"/>
      <c r="K36" s="43"/>
      <c r="L36" s="13"/>
      <c r="M36" s="13"/>
    </row>
    <row r="37" spans="1:15" x14ac:dyDescent="0.3">
      <c r="A37" s="71"/>
      <c r="B37" s="72"/>
      <c r="C37" s="72"/>
      <c r="D37" s="72"/>
      <c r="E37" s="91" t="s">
        <v>41</v>
      </c>
      <c r="F37" s="91"/>
      <c r="G37" s="73">
        <f>G36*E15/1000</f>
        <v>63063.595978237136</v>
      </c>
      <c r="H37" s="13"/>
      <c r="I37" s="43">
        <f>+G37*8.5</f>
        <v>536040.5658150157</v>
      </c>
      <c r="J37" s="13"/>
      <c r="K37" s="13"/>
      <c r="L37" s="13"/>
      <c r="M37" s="13"/>
    </row>
    <row r="38" spans="1:15" x14ac:dyDescent="0.3">
      <c r="A38" s="55" t="s">
        <v>42</v>
      </c>
      <c r="B38" s="74">
        <v>1</v>
      </c>
      <c r="C38" s="19"/>
      <c r="D38" s="19"/>
      <c r="E38" s="64"/>
      <c r="F38" s="64"/>
      <c r="G38" s="7">
        <f>+G37*B38</f>
        <v>63063.595978237136</v>
      </c>
      <c r="H38" s="13"/>
      <c r="I38" s="13"/>
      <c r="J38" s="13"/>
      <c r="K38" s="75"/>
      <c r="L38" s="13"/>
      <c r="M38" s="13"/>
      <c r="O38" s="76"/>
    </row>
    <row r="39" spans="1:15" x14ac:dyDescent="0.3">
      <c r="A39" s="55" t="s">
        <v>43</v>
      </c>
      <c r="B39" s="19"/>
      <c r="C39" s="19"/>
      <c r="D39" s="19"/>
      <c r="E39" s="64"/>
      <c r="F39" s="64"/>
      <c r="G39" s="7"/>
      <c r="H39" s="13"/>
      <c r="I39" s="13"/>
      <c r="J39" s="13"/>
      <c r="K39" s="13"/>
      <c r="L39" s="13"/>
      <c r="M39" s="13"/>
    </row>
    <row r="40" spans="1:15" x14ac:dyDescent="0.3">
      <c r="A40" s="41" t="s">
        <v>44</v>
      </c>
      <c r="B40" s="77">
        <v>1.7999999999999999E-2</v>
      </c>
      <c r="C40" s="19"/>
      <c r="D40" s="19"/>
      <c r="E40" s="19"/>
      <c r="F40" s="19"/>
      <c r="G40" s="2">
        <f>B40*G37</f>
        <v>1135.1447276082683</v>
      </c>
      <c r="H40" s="13"/>
      <c r="I40" s="43"/>
      <c r="J40" s="13"/>
      <c r="K40" s="13"/>
      <c r="L40" s="14"/>
      <c r="M40" s="14"/>
    </row>
    <row r="41" spans="1:15" x14ac:dyDescent="0.3">
      <c r="A41" s="41" t="s">
        <v>45</v>
      </c>
      <c r="B41" s="77">
        <v>0.01</v>
      </c>
      <c r="C41" s="19"/>
      <c r="D41" s="19"/>
      <c r="E41" s="19"/>
      <c r="F41" s="19"/>
      <c r="G41" s="2">
        <f>B41*G37</f>
        <v>630.6359597823714</v>
      </c>
      <c r="H41" s="13"/>
      <c r="I41" s="43"/>
      <c r="J41" s="13"/>
      <c r="K41" s="13"/>
      <c r="L41" s="14"/>
      <c r="M41" s="14"/>
    </row>
    <row r="42" spans="1:15" x14ac:dyDescent="0.3">
      <c r="A42" s="41" t="s">
        <v>46</v>
      </c>
      <c r="B42" s="77">
        <v>0.01</v>
      </c>
      <c r="C42" s="19"/>
      <c r="D42" s="19"/>
      <c r="E42" s="19"/>
      <c r="F42" s="19"/>
      <c r="G42" s="2">
        <f>B42*G37</f>
        <v>630.6359597823714</v>
      </c>
      <c r="H42" s="13"/>
      <c r="I42" s="43"/>
      <c r="J42" s="13"/>
      <c r="K42" s="13"/>
      <c r="L42" s="14"/>
      <c r="M42" s="14"/>
    </row>
    <row r="43" spans="1:15" x14ac:dyDescent="0.3">
      <c r="A43" s="41" t="s">
        <v>47</v>
      </c>
      <c r="B43" s="77">
        <v>4.0000000000000001E-3</v>
      </c>
      <c r="C43" s="19"/>
      <c r="D43" s="19"/>
      <c r="E43" s="19"/>
      <c r="F43" s="19"/>
      <c r="G43" s="2">
        <f>B43*G37</f>
        <v>252.25438391294855</v>
      </c>
      <c r="H43" s="13"/>
      <c r="I43" s="43"/>
      <c r="J43" s="13"/>
      <c r="K43" s="13"/>
      <c r="L43" s="14"/>
      <c r="M43" s="14"/>
    </row>
    <row r="44" spans="1:15" x14ac:dyDescent="0.3">
      <c r="A44" s="41" t="s">
        <v>48</v>
      </c>
      <c r="B44" s="77">
        <v>0.03</v>
      </c>
      <c r="C44" s="19"/>
      <c r="D44" s="19"/>
      <c r="E44" s="19"/>
      <c r="F44" s="19"/>
      <c r="G44" s="2">
        <f>B44*G38</f>
        <v>1891.907879347114</v>
      </c>
      <c r="H44" s="43"/>
      <c r="I44" s="13"/>
      <c r="J44" s="13"/>
      <c r="K44" s="13"/>
      <c r="L44" s="13"/>
      <c r="M44" s="13"/>
    </row>
    <row r="45" spans="1:15" x14ac:dyDescent="0.3">
      <c r="A45" s="41" t="s">
        <v>49</v>
      </c>
      <c r="B45" s="77">
        <v>3.5999999999999997E-2</v>
      </c>
      <c r="C45" s="19"/>
      <c r="D45" s="19"/>
      <c r="E45" s="19"/>
      <c r="F45" s="19"/>
      <c r="G45" s="2">
        <f>B45*G38</f>
        <v>2270.2894552165367</v>
      </c>
      <c r="H45" s="13"/>
      <c r="I45" s="43"/>
      <c r="J45" s="43"/>
      <c r="K45" s="43"/>
      <c r="L45" s="13"/>
      <c r="M45" s="13"/>
    </row>
    <row r="46" spans="1:15" x14ac:dyDescent="0.3">
      <c r="A46" s="55" t="s">
        <v>50</v>
      </c>
      <c r="B46" s="78"/>
      <c r="C46" s="19"/>
      <c r="D46" s="19"/>
      <c r="E46" s="19"/>
      <c r="F46" s="19"/>
      <c r="G46" s="7">
        <f>+B46*E11/1000</f>
        <v>0</v>
      </c>
      <c r="H46" s="13"/>
      <c r="I46" s="43"/>
      <c r="J46" s="43"/>
      <c r="K46" s="43"/>
      <c r="L46" s="13"/>
      <c r="M46" s="13"/>
      <c r="N46" s="79"/>
    </row>
    <row r="47" spans="1:15" x14ac:dyDescent="0.3">
      <c r="A47" s="48"/>
      <c r="B47" s="29"/>
      <c r="C47" s="29"/>
      <c r="D47" s="29"/>
      <c r="E47" s="92" t="s">
        <v>51</v>
      </c>
      <c r="F47" s="92"/>
      <c r="G47" s="80">
        <f>+G38-SUM(G40:G46)</f>
        <v>56252.727612587521</v>
      </c>
      <c r="H47" s="13"/>
      <c r="I47" s="75"/>
      <c r="J47" s="13"/>
      <c r="K47" s="43"/>
      <c r="L47" s="43"/>
      <c r="M47" s="13"/>
    </row>
    <row r="48" spans="1:15" x14ac:dyDescent="0.3">
      <c r="A48" s="81" t="s">
        <v>52</v>
      </c>
      <c r="B48" s="82"/>
      <c r="C48" s="82"/>
      <c r="D48" s="82"/>
      <c r="E48" s="82"/>
      <c r="F48" s="82"/>
      <c r="G48" s="89">
        <f>+G47*8.5</f>
        <v>478148.18470699392</v>
      </c>
      <c r="H48" s="83"/>
      <c r="I48" s="84"/>
      <c r="J48" s="13"/>
      <c r="K48" s="43"/>
      <c r="L48" s="13"/>
      <c r="M48" s="13"/>
      <c r="N48" s="85"/>
    </row>
    <row r="49" spans="1:13" x14ac:dyDescent="0.3">
      <c r="A49" s="19"/>
      <c r="B49" s="19"/>
      <c r="C49" s="19"/>
      <c r="D49" s="19"/>
      <c r="E49" s="19"/>
      <c r="F49" s="19"/>
      <c r="G49" s="19"/>
      <c r="H49" s="83"/>
      <c r="I49" s="84"/>
      <c r="J49" s="13"/>
      <c r="K49" s="43"/>
      <c r="L49" s="13"/>
      <c r="M49" s="13"/>
    </row>
    <row r="50" spans="1:13" x14ac:dyDescent="0.3">
      <c r="A50" s="19"/>
      <c r="B50" s="19"/>
      <c r="C50" s="19"/>
      <c r="D50" s="19"/>
      <c r="E50" s="19"/>
      <c r="F50" s="19"/>
      <c r="G50" s="19"/>
      <c r="H50" s="83"/>
      <c r="I50" s="84"/>
      <c r="J50" s="13"/>
      <c r="K50" s="43"/>
      <c r="L50" s="13"/>
      <c r="M50" s="13"/>
    </row>
    <row r="51" spans="1:13" x14ac:dyDescent="0.3">
      <c r="A51" s="86" t="s">
        <v>53</v>
      </c>
      <c r="B51" s="19"/>
      <c r="C51" s="87" t="s">
        <v>54</v>
      </c>
      <c r="D51" s="88"/>
      <c r="E51" s="19"/>
      <c r="F51" s="93" t="s">
        <v>55</v>
      </c>
      <c r="G51" s="93"/>
      <c r="H51" s="13"/>
      <c r="I51" s="84"/>
      <c r="J51" s="13"/>
      <c r="K51" s="13"/>
      <c r="L51" s="13"/>
      <c r="M51" s="13"/>
    </row>
  </sheetData>
  <mergeCells count="9">
    <mergeCell ref="E37:F37"/>
    <mergeCell ref="E47:F47"/>
    <mergeCell ref="F51:G51"/>
    <mergeCell ref="A5:G5"/>
    <mergeCell ref="B6:F6"/>
    <mergeCell ref="C10:E10"/>
    <mergeCell ref="E22:F22"/>
    <mergeCell ref="E35:F35"/>
    <mergeCell ref="E36:F36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1"/>
  <sheetViews>
    <sheetView topLeftCell="A16" workbookViewId="0">
      <selection activeCell="B40" sqref="B40:G45"/>
    </sheetView>
  </sheetViews>
  <sheetFormatPr baseColWidth="10" defaultColWidth="11.44140625" defaultRowHeight="15.05" x14ac:dyDescent="0.3"/>
  <cols>
    <col min="1" max="1" width="26.44140625" customWidth="1"/>
    <col min="2" max="2" width="10.5546875" customWidth="1"/>
    <col min="3" max="3" width="7.88671875" customWidth="1"/>
    <col min="4" max="4" width="8.6640625" customWidth="1"/>
    <col min="5" max="5" width="13.44140625" customWidth="1"/>
    <col min="6" max="6" width="10.33203125" customWidth="1"/>
    <col min="7" max="7" width="12.88671875" customWidth="1"/>
    <col min="8" max="8" width="4.33203125" customWidth="1"/>
    <col min="9" max="9" width="12.44140625" customWidth="1"/>
    <col min="10" max="10" width="8.5546875" customWidth="1"/>
    <col min="11" max="11" width="11.6640625" customWidth="1"/>
    <col min="12" max="13" width="9.44140625" customWidth="1"/>
    <col min="15" max="15" width="14.109375" customWidth="1"/>
    <col min="18" max="18" width="10.33203125" customWidth="1"/>
  </cols>
  <sheetData>
    <row r="1" spans="1:18" ht="17.05" x14ac:dyDescent="0.35">
      <c r="A1" s="11"/>
      <c r="B1" s="12"/>
      <c r="C1" s="11"/>
      <c r="D1" s="11"/>
      <c r="E1" s="11"/>
      <c r="F1" s="11"/>
      <c r="G1" s="11"/>
      <c r="H1" s="13"/>
      <c r="I1" s="13"/>
      <c r="J1" s="13"/>
      <c r="K1" s="13"/>
      <c r="L1" s="14"/>
      <c r="M1" s="14"/>
    </row>
    <row r="2" spans="1:18" x14ac:dyDescent="0.3">
      <c r="A2" s="11"/>
      <c r="B2" s="11"/>
      <c r="C2" s="11"/>
      <c r="D2" s="11"/>
      <c r="E2" s="11"/>
      <c r="F2" s="11"/>
      <c r="G2" s="11"/>
      <c r="H2" s="13"/>
      <c r="I2" s="15" t="s">
        <v>1</v>
      </c>
      <c r="J2" s="15" t="s">
        <v>2</v>
      </c>
      <c r="K2" s="15" t="s">
        <v>3</v>
      </c>
      <c r="L2" s="14" t="s">
        <v>4</v>
      </c>
      <c r="M2" s="14"/>
    </row>
    <row r="3" spans="1:18" x14ac:dyDescent="0.3">
      <c r="A3" s="11"/>
      <c r="B3" s="11"/>
      <c r="C3" s="11"/>
      <c r="D3" s="11"/>
      <c r="E3" s="11"/>
      <c r="F3" s="11"/>
      <c r="G3" s="11"/>
      <c r="H3" s="13" t="s">
        <v>5</v>
      </c>
      <c r="I3" s="16">
        <v>1.3948</v>
      </c>
      <c r="J3" s="17">
        <v>5</v>
      </c>
      <c r="K3" s="18">
        <v>2.2046223</v>
      </c>
      <c r="L3" s="14">
        <v>0.87905999999999995</v>
      </c>
      <c r="M3" s="14">
        <f>L3*K3*1000</f>
        <v>1937.995279038</v>
      </c>
    </row>
    <row r="4" spans="1:18" x14ac:dyDescent="0.3">
      <c r="A4" s="11"/>
      <c r="B4" s="11"/>
      <c r="C4" s="11"/>
      <c r="D4" s="11"/>
      <c r="E4" s="11"/>
      <c r="F4" s="11"/>
      <c r="G4" s="11"/>
      <c r="H4" s="13" t="s">
        <v>6</v>
      </c>
      <c r="I4" s="17">
        <v>27.53</v>
      </c>
      <c r="J4" s="17">
        <v>6</v>
      </c>
      <c r="K4" s="18">
        <v>31.1035</v>
      </c>
      <c r="L4" s="14"/>
      <c r="M4" s="14"/>
    </row>
    <row r="5" spans="1:18" ht="23.6" x14ac:dyDescent="0.4">
      <c r="A5" s="94" t="s">
        <v>56</v>
      </c>
      <c r="B5" s="94"/>
      <c r="C5" s="94"/>
      <c r="D5" s="94"/>
      <c r="E5" s="94"/>
      <c r="F5" s="94"/>
      <c r="G5" s="94"/>
      <c r="H5" s="13"/>
      <c r="I5" s="13"/>
      <c r="J5" s="13"/>
      <c r="K5" s="13"/>
      <c r="L5" s="14"/>
      <c r="M5" s="14"/>
    </row>
    <row r="6" spans="1:18" x14ac:dyDescent="0.3">
      <c r="A6" s="19" t="s">
        <v>7</v>
      </c>
      <c r="B6" s="95">
        <f ca="1">+TODAY()</f>
        <v>46239</v>
      </c>
      <c r="C6" s="95"/>
      <c r="D6" s="95"/>
      <c r="E6" s="95"/>
      <c r="F6" s="95"/>
      <c r="G6" s="20"/>
      <c r="H6" s="13"/>
      <c r="I6" s="13"/>
      <c r="J6" s="13"/>
      <c r="K6" s="13"/>
      <c r="L6" s="14"/>
      <c r="M6" s="14"/>
    </row>
    <row r="7" spans="1:18" x14ac:dyDescent="0.3">
      <c r="A7" s="19" t="s">
        <v>8</v>
      </c>
      <c r="B7" s="21"/>
      <c r="C7" s="19"/>
      <c r="D7" s="19"/>
      <c r="E7" s="19"/>
      <c r="F7" s="19"/>
      <c r="G7" s="19"/>
      <c r="H7" s="13"/>
      <c r="I7" s="13"/>
      <c r="J7" s="13"/>
      <c r="K7" s="13"/>
      <c r="L7" s="14"/>
      <c r="M7" s="14"/>
    </row>
    <row r="8" spans="1:18" x14ac:dyDescent="0.3">
      <c r="A8" s="19" t="s">
        <v>9</v>
      </c>
      <c r="B8" s="22" t="s">
        <v>58</v>
      </c>
      <c r="C8" s="19"/>
      <c r="D8" s="19"/>
      <c r="E8" s="19"/>
      <c r="F8" s="19"/>
      <c r="G8" s="19"/>
      <c r="H8" s="13"/>
      <c r="I8" s="13"/>
      <c r="J8" s="13"/>
      <c r="K8" s="13"/>
      <c r="L8" s="14"/>
      <c r="M8" s="14"/>
    </row>
    <row r="9" spans="1:18" x14ac:dyDescent="0.3">
      <c r="A9" s="19"/>
      <c r="B9" s="19"/>
      <c r="C9" s="19"/>
      <c r="D9" s="19"/>
      <c r="E9" s="19"/>
      <c r="F9" s="19"/>
      <c r="G9" s="19"/>
      <c r="H9" s="13"/>
      <c r="I9" s="13"/>
      <c r="J9" s="13"/>
      <c r="K9" s="13"/>
      <c r="L9" s="14"/>
      <c r="M9" s="14"/>
    </row>
    <row r="10" spans="1:18" x14ac:dyDescent="0.3">
      <c r="A10" s="23" t="s">
        <v>10</v>
      </c>
      <c r="B10" s="23" t="s">
        <v>11</v>
      </c>
      <c r="C10" s="96" t="s">
        <v>12</v>
      </c>
      <c r="D10" s="96"/>
      <c r="E10" s="96"/>
      <c r="F10" s="24" t="s">
        <v>13</v>
      </c>
      <c r="G10" s="25"/>
      <c r="H10" s="13"/>
      <c r="I10" s="13"/>
      <c r="J10" s="13"/>
      <c r="K10" s="13"/>
      <c r="L10" s="14"/>
      <c r="M10" s="14"/>
    </row>
    <row r="11" spans="1:18" x14ac:dyDescent="0.3">
      <c r="A11" s="26" t="s">
        <v>5</v>
      </c>
      <c r="B11" s="27">
        <v>7.47</v>
      </c>
      <c r="C11" s="28" t="s">
        <v>14</v>
      </c>
      <c r="D11" s="29"/>
      <c r="E11" s="30">
        <v>1420</v>
      </c>
      <c r="F11" s="31" t="s">
        <v>5</v>
      </c>
      <c r="G11" s="1">
        <f>+M3</f>
        <v>1937.995279038</v>
      </c>
      <c r="H11" s="13"/>
      <c r="I11" s="27"/>
      <c r="J11" s="13"/>
      <c r="K11" s="13"/>
      <c r="L11" s="14"/>
      <c r="M11" s="14"/>
    </row>
    <row r="12" spans="1:18" x14ac:dyDescent="0.3">
      <c r="A12" s="32" t="s">
        <v>15</v>
      </c>
      <c r="B12" s="27">
        <v>55.7</v>
      </c>
      <c r="C12" s="33" t="s">
        <v>16</v>
      </c>
      <c r="D12" s="8">
        <v>0.12189999999999999</v>
      </c>
      <c r="E12" s="30">
        <f>+E11*D12</f>
        <v>173.09799999999998</v>
      </c>
      <c r="F12" s="34" t="s">
        <v>6</v>
      </c>
      <c r="G12" s="9">
        <v>75.569999999999993</v>
      </c>
      <c r="H12" s="13"/>
      <c r="I12" s="27"/>
      <c r="J12" s="13"/>
      <c r="K12" s="35"/>
      <c r="L12" s="36"/>
      <c r="M12" s="36"/>
    </row>
    <row r="13" spans="1:18" x14ac:dyDescent="0.3">
      <c r="A13" s="32" t="s">
        <v>17</v>
      </c>
      <c r="B13" s="37">
        <v>0</v>
      </c>
      <c r="C13" s="33" t="s">
        <v>18</v>
      </c>
      <c r="D13" s="38">
        <v>0</v>
      </c>
      <c r="E13" s="30">
        <f>+E11-E12</f>
        <v>1246.902</v>
      </c>
      <c r="F13" s="39"/>
      <c r="G13" s="40"/>
      <c r="H13" s="13"/>
      <c r="I13" s="13"/>
      <c r="J13" s="13"/>
      <c r="K13" s="35"/>
      <c r="L13" s="14"/>
      <c r="M13" s="14"/>
    </row>
    <row r="14" spans="1:18" x14ac:dyDescent="0.3">
      <c r="A14" s="32" t="s">
        <v>19</v>
      </c>
      <c r="B14" s="37">
        <v>0</v>
      </c>
      <c r="C14" s="33" t="s">
        <v>20</v>
      </c>
      <c r="D14" s="8">
        <v>0</v>
      </c>
      <c r="E14" s="30">
        <f>+E13*D14</f>
        <v>0</v>
      </c>
      <c r="F14" s="41"/>
      <c r="G14" s="42"/>
      <c r="H14" s="13"/>
      <c r="I14" s="13"/>
      <c r="J14" s="13"/>
      <c r="K14" s="43"/>
      <c r="L14" s="14"/>
      <c r="M14" s="14"/>
    </row>
    <row r="15" spans="1:18" x14ac:dyDescent="0.3">
      <c r="A15" s="10" t="s">
        <v>21</v>
      </c>
      <c r="B15" s="37">
        <v>0</v>
      </c>
      <c r="C15" s="44" t="s">
        <v>22</v>
      </c>
      <c r="D15" s="44"/>
      <c r="E15" s="45">
        <f>+E13-E14</f>
        <v>1246.902</v>
      </c>
      <c r="F15" s="41"/>
      <c r="G15" s="42"/>
      <c r="H15" s="13"/>
      <c r="I15" s="13"/>
      <c r="J15" s="13"/>
      <c r="K15" s="13"/>
      <c r="L15" s="14"/>
      <c r="M15" s="14"/>
      <c r="R15" s="46"/>
    </row>
    <row r="16" spans="1:18" x14ac:dyDescent="0.3">
      <c r="A16" s="47" t="s">
        <v>23</v>
      </c>
      <c r="B16" s="37">
        <v>0</v>
      </c>
      <c r="C16" s="48"/>
      <c r="D16" s="29"/>
      <c r="E16" s="49"/>
      <c r="F16" s="29"/>
      <c r="G16" s="50"/>
      <c r="H16" s="13"/>
      <c r="I16" s="13"/>
      <c r="J16" s="13"/>
      <c r="K16" s="13"/>
      <c r="L16" s="14"/>
      <c r="M16" s="14"/>
      <c r="R16" s="51"/>
    </row>
    <row r="17" spans="1:16" x14ac:dyDescent="0.3">
      <c r="A17" s="47" t="s">
        <v>57</v>
      </c>
      <c r="B17" s="37">
        <v>0</v>
      </c>
      <c r="C17" s="19"/>
      <c r="D17" s="19"/>
      <c r="E17" s="52"/>
      <c r="F17" s="19"/>
      <c r="G17" s="42"/>
      <c r="H17" s="13"/>
      <c r="I17" s="13"/>
      <c r="J17" s="13"/>
      <c r="K17" s="13"/>
      <c r="L17" s="14"/>
      <c r="M17" s="14"/>
    </row>
    <row r="18" spans="1:16" x14ac:dyDescent="0.3">
      <c r="A18" s="53" t="s">
        <v>24</v>
      </c>
      <c r="B18" s="54">
        <v>0</v>
      </c>
      <c r="C18" s="19"/>
      <c r="D18" s="19"/>
      <c r="E18" s="52"/>
      <c r="F18" s="19"/>
      <c r="G18" s="42"/>
      <c r="H18" s="13"/>
      <c r="I18" s="13"/>
      <c r="J18" s="13"/>
      <c r="K18" s="13"/>
      <c r="L18" s="14"/>
      <c r="M18" s="14"/>
    </row>
    <row r="19" spans="1:16" x14ac:dyDescent="0.3">
      <c r="A19" s="55" t="s">
        <v>25</v>
      </c>
      <c r="B19" s="19"/>
      <c r="C19" s="19"/>
      <c r="D19" s="19"/>
      <c r="E19" s="19"/>
      <c r="F19" s="19"/>
      <c r="G19" s="42"/>
      <c r="H19" s="13"/>
      <c r="I19" s="13"/>
      <c r="J19" s="13"/>
      <c r="K19" s="13"/>
      <c r="L19" s="13"/>
      <c r="M19" s="13"/>
    </row>
    <row r="20" spans="1:16" x14ac:dyDescent="0.3">
      <c r="A20" s="41" t="s">
        <v>5</v>
      </c>
      <c r="B20" s="56">
        <f>B11</f>
        <v>7.47</v>
      </c>
      <c r="C20" s="19"/>
      <c r="D20" s="57">
        <v>-3</v>
      </c>
      <c r="E20" s="58">
        <v>0.8</v>
      </c>
      <c r="F20" s="19"/>
      <c r="G20" s="2">
        <f>+(B20+D20)*G11/100</f>
        <v>86.628388972998607</v>
      </c>
      <c r="H20" s="13"/>
      <c r="I20" s="59"/>
      <c r="J20" s="13"/>
      <c r="K20" s="13"/>
      <c r="L20" s="13"/>
      <c r="M20" s="13"/>
      <c r="P20" s="46"/>
    </row>
    <row r="21" spans="1:16" x14ac:dyDescent="0.3">
      <c r="A21" s="41" t="s">
        <v>6</v>
      </c>
      <c r="B21" s="60">
        <f>ROUND(B12/K4*100,3)</f>
        <v>179.08</v>
      </c>
      <c r="C21" s="61">
        <v>-1E-4</v>
      </c>
      <c r="D21" s="57">
        <v>-0.05</v>
      </c>
      <c r="E21" s="58">
        <v>0.74</v>
      </c>
      <c r="F21" s="19"/>
      <c r="G21" s="62">
        <f>((B12/K4*100)+D21)*E21*G12</f>
        <v>10011.653280649603</v>
      </c>
      <c r="H21" s="13"/>
      <c r="I21" s="59"/>
      <c r="J21" s="63"/>
      <c r="K21" s="13"/>
      <c r="L21" s="13"/>
      <c r="M21" s="13"/>
    </row>
    <row r="22" spans="1:16" x14ac:dyDescent="0.3">
      <c r="A22" s="41"/>
      <c r="B22" s="19"/>
      <c r="C22" s="19"/>
      <c r="D22" s="19"/>
      <c r="E22" s="97" t="s">
        <v>26</v>
      </c>
      <c r="F22" s="97"/>
      <c r="G22" s="7">
        <f>SUM(G20:G21)</f>
        <v>10098.281669622602</v>
      </c>
      <c r="H22" s="43"/>
      <c r="I22" s="13"/>
      <c r="J22" s="13"/>
      <c r="K22" s="13"/>
      <c r="L22" s="13"/>
      <c r="M22" s="13"/>
    </row>
    <row r="23" spans="1:16" x14ac:dyDescent="0.3">
      <c r="A23" s="55" t="s">
        <v>27</v>
      </c>
      <c r="B23" s="19"/>
      <c r="C23" s="19"/>
      <c r="D23" s="19"/>
      <c r="E23" s="19"/>
      <c r="F23" s="19"/>
      <c r="G23" s="42"/>
      <c r="H23" s="13"/>
      <c r="I23" s="13"/>
      <c r="J23" s="13"/>
      <c r="K23" s="13"/>
      <c r="L23" s="13"/>
      <c r="M23" s="13"/>
    </row>
    <row r="24" spans="1:16" x14ac:dyDescent="0.3">
      <c r="A24" s="41" t="s">
        <v>28</v>
      </c>
      <c r="B24" s="65" t="s">
        <v>29</v>
      </c>
      <c r="C24" s="65" t="s">
        <v>30</v>
      </c>
      <c r="D24" s="65"/>
      <c r="E24" s="65" t="s">
        <v>31</v>
      </c>
      <c r="F24" s="65"/>
      <c r="G24" s="2">
        <v>0</v>
      </c>
      <c r="H24" s="13"/>
      <c r="I24" s="59"/>
      <c r="J24" s="13"/>
      <c r="K24" s="13"/>
      <c r="L24" s="13"/>
      <c r="M24" s="13"/>
    </row>
    <row r="25" spans="1:16" x14ac:dyDescent="0.3">
      <c r="A25" s="41" t="s">
        <v>32</v>
      </c>
      <c r="B25" s="66">
        <v>0</v>
      </c>
      <c r="C25" s="66">
        <v>0</v>
      </c>
      <c r="D25" s="67">
        <f>B25-C25</f>
        <v>0</v>
      </c>
      <c r="E25" s="65">
        <v>0.15</v>
      </c>
      <c r="F25" s="65"/>
      <c r="G25" s="2">
        <f>E25*D25</f>
        <v>0</v>
      </c>
      <c r="H25" s="13"/>
      <c r="I25" s="13"/>
      <c r="J25" s="13"/>
      <c r="K25" s="13"/>
      <c r="L25" s="13"/>
      <c r="M25" s="13"/>
    </row>
    <row r="26" spans="1:16" hidden="1" x14ac:dyDescent="0.3">
      <c r="A26" s="41" t="s">
        <v>33</v>
      </c>
      <c r="B26" s="57">
        <f>+B12/K4*100+D21</f>
        <v>179.02952481232015</v>
      </c>
      <c r="C26" s="19"/>
      <c r="D26" s="57">
        <v>0</v>
      </c>
      <c r="E26" s="19"/>
      <c r="F26" s="19"/>
      <c r="G26" s="2">
        <v>0</v>
      </c>
      <c r="H26" s="13"/>
      <c r="I26" s="43"/>
      <c r="J26" s="13"/>
      <c r="K26" s="13"/>
      <c r="L26" s="13"/>
      <c r="M26" s="13"/>
    </row>
    <row r="27" spans="1:16" x14ac:dyDescent="0.3">
      <c r="A27" s="55" t="s">
        <v>35</v>
      </c>
      <c r="B27" s="65" t="s">
        <v>36</v>
      </c>
      <c r="C27" s="65" t="s">
        <v>37</v>
      </c>
      <c r="D27" s="19"/>
      <c r="E27" s="19"/>
      <c r="F27" s="19"/>
      <c r="G27" s="42"/>
      <c r="H27" s="13"/>
      <c r="I27" s="68"/>
      <c r="J27" s="13"/>
      <c r="K27" s="13"/>
      <c r="L27" s="13"/>
      <c r="M27" s="13"/>
    </row>
    <row r="28" spans="1:16" x14ac:dyDescent="0.3">
      <c r="A28" s="69" t="s">
        <v>17</v>
      </c>
      <c r="B28" s="3">
        <f>+B13</f>
        <v>0</v>
      </c>
      <c r="C28" s="3">
        <v>0.4</v>
      </c>
      <c r="D28" s="4">
        <v>2.5</v>
      </c>
      <c r="E28" s="19" t="s">
        <v>38</v>
      </c>
      <c r="F28" s="5">
        <v>1E-3</v>
      </c>
      <c r="G28" s="6">
        <f t="shared" ref="G28:G32" si="0">IF(B28&gt;C28,((B28-C28)*D28)/F28/100,)</f>
        <v>0</v>
      </c>
      <c r="H28" s="13"/>
      <c r="I28" s="13"/>
      <c r="J28" s="13"/>
      <c r="K28" s="13"/>
      <c r="L28" s="13"/>
      <c r="M28" s="13"/>
    </row>
    <row r="29" spans="1:16" x14ac:dyDescent="0.3">
      <c r="A29" s="69" t="s">
        <v>19</v>
      </c>
      <c r="B29" s="3">
        <f>+B16</f>
        <v>0</v>
      </c>
      <c r="C29" s="3">
        <v>0.4</v>
      </c>
      <c r="D29" s="4">
        <v>2.5</v>
      </c>
      <c r="E29" s="19" t="s">
        <v>38</v>
      </c>
      <c r="F29" s="5">
        <v>1E-3</v>
      </c>
      <c r="G29" s="6">
        <f t="shared" si="0"/>
        <v>0</v>
      </c>
      <c r="H29" s="13"/>
      <c r="I29" s="13"/>
      <c r="J29" s="13"/>
      <c r="K29" s="13"/>
      <c r="L29" s="13"/>
      <c r="M29" s="13"/>
    </row>
    <row r="30" spans="1:16" hidden="1" x14ac:dyDescent="0.3">
      <c r="A30" s="70" t="s">
        <v>21</v>
      </c>
      <c r="B30" s="3">
        <f>+B14</f>
        <v>0</v>
      </c>
      <c r="C30" s="3">
        <v>0.4</v>
      </c>
      <c r="D30" s="4">
        <v>2.5</v>
      </c>
      <c r="E30" s="19" t="s">
        <v>38</v>
      </c>
      <c r="F30" s="5">
        <v>1E-3</v>
      </c>
      <c r="G30" s="6">
        <f t="shared" si="0"/>
        <v>0</v>
      </c>
      <c r="H30" s="13"/>
      <c r="I30" s="13"/>
      <c r="J30" s="13"/>
      <c r="K30" s="13"/>
      <c r="L30" s="13"/>
      <c r="M30" s="13"/>
    </row>
    <row r="31" spans="1:16" x14ac:dyDescent="0.3">
      <c r="A31" s="69" t="s">
        <v>23</v>
      </c>
      <c r="B31" s="3">
        <f>+B16</f>
        <v>0</v>
      </c>
      <c r="C31" s="3">
        <v>0.4</v>
      </c>
      <c r="D31" s="4">
        <v>2.5</v>
      </c>
      <c r="E31" s="19" t="s">
        <v>38</v>
      </c>
      <c r="F31" s="5">
        <v>1E-3</v>
      </c>
      <c r="G31" s="6">
        <f t="shared" si="0"/>
        <v>0</v>
      </c>
      <c r="H31" s="13"/>
      <c r="I31" s="13"/>
      <c r="J31" s="13"/>
      <c r="K31" s="13"/>
      <c r="L31" s="13"/>
      <c r="M31" s="13"/>
    </row>
    <row r="32" spans="1:16" x14ac:dyDescent="0.3">
      <c r="A32" s="69" t="s">
        <v>57</v>
      </c>
      <c r="B32" s="3">
        <f>+B17</f>
        <v>0</v>
      </c>
      <c r="C32" s="3">
        <v>7</v>
      </c>
      <c r="D32" s="4">
        <v>2.5</v>
      </c>
      <c r="E32" s="19" t="s">
        <v>38</v>
      </c>
      <c r="F32" s="5">
        <v>0.01</v>
      </c>
      <c r="G32" s="6">
        <f t="shared" si="0"/>
        <v>0</v>
      </c>
      <c r="H32" s="13"/>
      <c r="I32" s="13"/>
      <c r="J32" s="13"/>
      <c r="K32" s="13"/>
      <c r="L32" s="13"/>
      <c r="M32" s="13"/>
    </row>
    <row r="33" spans="1:15" x14ac:dyDescent="0.3">
      <c r="A33" s="69" t="s">
        <v>24</v>
      </c>
      <c r="B33" s="3">
        <f>+B18</f>
        <v>0</v>
      </c>
      <c r="C33" s="3">
        <v>3</v>
      </c>
      <c r="D33" s="4">
        <v>2.5</v>
      </c>
      <c r="E33" s="19" t="s">
        <v>38</v>
      </c>
      <c r="F33" s="5">
        <v>0.01</v>
      </c>
      <c r="G33" s="6">
        <v>0</v>
      </c>
      <c r="H33" s="13"/>
      <c r="I33" s="13"/>
      <c r="J33" s="13"/>
      <c r="K33" s="13"/>
      <c r="L33" s="13"/>
      <c r="M33" s="13"/>
    </row>
    <row r="34" spans="1:15" x14ac:dyDescent="0.3">
      <c r="A34" s="41"/>
      <c r="B34" s="3"/>
      <c r="C34" s="3"/>
      <c r="D34" s="4"/>
      <c r="E34" s="19"/>
      <c r="F34" s="5"/>
      <c r="G34" s="6"/>
      <c r="H34" s="13"/>
      <c r="I34" s="13"/>
      <c r="J34" s="13"/>
      <c r="K34" s="13"/>
      <c r="L34" s="13"/>
      <c r="M34" s="13"/>
    </row>
    <row r="35" spans="1:15" x14ac:dyDescent="0.3">
      <c r="A35" s="41"/>
      <c r="B35" s="19"/>
      <c r="C35" s="19"/>
      <c r="D35" s="19"/>
      <c r="E35" s="98" t="s">
        <v>39</v>
      </c>
      <c r="F35" s="98"/>
      <c r="G35" s="7">
        <f>+SUM(G24:G33)</f>
        <v>0</v>
      </c>
      <c r="H35" s="13"/>
      <c r="I35" s="59"/>
      <c r="J35" s="13"/>
      <c r="K35" s="13"/>
      <c r="L35" s="13"/>
      <c r="M35" s="13"/>
    </row>
    <row r="36" spans="1:15" x14ac:dyDescent="0.3">
      <c r="A36" s="71"/>
      <c r="B36" s="72"/>
      <c r="C36" s="72"/>
      <c r="D36" s="72"/>
      <c r="E36" s="91" t="s">
        <v>40</v>
      </c>
      <c r="F36" s="91"/>
      <c r="G36" s="73">
        <f>G22-G35</f>
        <v>10098.281669622602</v>
      </c>
      <c r="H36" s="43"/>
      <c r="I36" s="43"/>
      <c r="J36" s="13"/>
      <c r="K36" s="43"/>
      <c r="L36" s="13"/>
      <c r="M36" s="13"/>
    </row>
    <row r="37" spans="1:15" x14ac:dyDescent="0.3">
      <c r="A37" s="71"/>
      <c r="B37" s="72"/>
      <c r="C37" s="72"/>
      <c r="D37" s="72"/>
      <c r="E37" s="91" t="s">
        <v>41</v>
      </c>
      <c r="F37" s="91"/>
      <c r="G37" s="73">
        <f>G36*E15/1000</f>
        <v>12591.567610415763</v>
      </c>
      <c r="H37" s="13"/>
      <c r="I37" s="43">
        <f>+G37*8.5</f>
        <v>107028.32468853399</v>
      </c>
      <c r="J37" s="13"/>
      <c r="K37" s="13"/>
      <c r="L37" s="13"/>
      <c r="M37" s="13"/>
    </row>
    <row r="38" spans="1:15" x14ac:dyDescent="0.3">
      <c r="A38" s="55" t="s">
        <v>42</v>
      </c>
      <c r="B38" s="74">
        <v>1</v>
      </c>
      <c r="C38" s="19"/>
      <c r="D38" s="19"/>
      <c r="E38" s="64"/>
      <c r="F38" s="64"/>
      <c r="G38" s="7">
        <f>+G37*B38</f>
        <v>12591.567610415763</v>
      </c>
      <c r="H38" s="13"/>
      <c r="I38" s="13"/>
      <c r="J38" s="13"/>
      <c r="K38" s="75"/>
      <c r="L38" s="13"/>
      <c r="M38" s="13"/>
      <c r="O38" s="76"/>
    </row>
    <row r="39" spans="1:15" x14ac:dyDescent="0.3">
      <c r="A39" s="55" t="s">
        <v>43</v>
      </c>
      <c r="B39" s="19"/>
      <c r="C39" s="19"/>
      <c r="D39" s="19"/>
      <c r="E39" s="64"/>
      <c r="F39" s="64"/>
      <c r="G39" s="7"/>
      <c r="H39" s="13"/>
      <c r="I39" s="13"/>
      <c r="J39" s="13"/>
      <c r="K39" s="13"/>
      <c r="L39" s="13"/>
      <c r="M39" s="13"/>
    </row>
    <row r="40" spans="1:15" x14ac:dyDescent="0.3">
      <c r="A40" s="41" t="s">
        <v>44</v>
      </c>
      <c r="B40" s="77">
        <v>1.7999999999999999E-2</v>
      </c>
      <c r="C40" s="19"/>
      <c r="D40" s="19"/>
      <c r="E40" s="19"/>
      <c r="F40" s="19"/>
      <c r="G40" s="2">
        <f>B40*G37</f>
        <v>226.64821698748372</v>
      </c>
      <c r="H40" s="13"/>
      <c r="I40" s="43"/>
      <c r="J40" s="13"/>
      <c r="K40" s="13"/>
      <c r="L40" s="14"/>
      <c r="M40" s="14"/>
    </row>
    <row r="41" spans="1:15" x14ac:dyDescent="0.3">
      <c r="A41" s="41" t="s">
        <v>45</v>
      </c>
      <c r="B41" s="77">
        <v>0.01</v>
      </c>
      <c r="C41" s="19"/>
      <c r="D41" s="19"/>
      <c r="E41" s="19"/>
      <c r="F41" s="19"/>
      <c r="G41" s="2">
        <f>B41*G37</f>
        <v>125.91567610415763</v>
      </c>
      <c r="H41" s="13"/>
      <c r="I41" s="43"/>
      <c r="J41" s="13"/>
      <c r="K41" s="13"/>
      <c r="L41" s="14"/>
      <c r="M41" s="14"/>
    </row>
    <row r="42" spans="1:15" x14ac:dyDescent="0.3">
      <c r="A42" s="41" t="s">
        <v>46</v>
      </c>
      <c r="B42" s="77">
        <v>0.01</v>
      </c>
      <c r="C42" s="19"/>
      <c r="D42" s="19"/>
      <c r="E42" s="19"/>
      <c r="F42" s="19"/>
      <c r="G42" s="2">
        <f>B42*G37</f>
        <v>125.91567610415763</v>
      </c>
      <c r="H42" s="13"/>
      <c r="I42" s="43"/>
      <c r="J42" s="13"/>
      <c r="K42" s="13"/>
      <c r="L42" s="14"/>
      <c r="M42" s="14"/>
    </row>
    <row r="43" spans="1:15" x14ac:dyDescent="0.3">
      <c r="A43" s="41" t="s">
        <v>47</v>
      </c>
      <c r="B43" s="77">
        <v>4.0000000000000001E-3</v>
      </c>
      <c r="C43" s="19"/>
      <c r="D43" s="19"/>
      <c r="E43" s="19"/>
      <c r="F43" s="19"/>
      <c r="G43" s="2">
        <f>B43*G37</f>
        <v>50.366270441663055</v>
      </c>
      <c r="H43" s="13"/>
      <c r="I43" s="43"/>
      <c r="J43" s="13"/>
      <c r="K43" s="13"/>
      <c r="L43" s="14"/>
      <c r="M43" s="14"/>
    </row>
    <row r="44" spans="1:15" x14ac:dyDescent="0.3">
      <c r="A44" s="41" t="s">
        <v>48</v>
      </c>
      <c r="B44" s="77">
        <v>0.03</v>
      </c>
      <c r="C44" s="19"/>
      <c r="D44" s="19"/>
      <c r="E44" s="19"/>
      <c r="F44" s="19"/>
      <c r="G44" s="2">
        <f>B44*G38</f>
        <v>377.74702831247288</v>
      </c>
      <c r="H44" s="43"/>
      <c r="I44" s="13"/>
      <c r="J44" s="13"/>
      <c r="K44" s="13"/>
      <c r="L44" s="13"/>
      <c r="M44" s="13"/>
    </row>
    <row r="45" spans="1:15" x14ac:dyDescent="0.3">
      <c r="A45" s="41" t="s">
        <v>49</v>
      </c>
      <c r="B45" s="77">
        <v>3.5999999999999997E-2</v>
      </c>
      <c r="C45" s="19"/>
      <c r="D45" s="19"/>
      <c r="E45" s="19"/>
      <c r="F45" s="19"/>
      <c r="G45" s="2">
        <f>B45*G38</f>
        <v>453.29643397496744</v>
      </c>
      <c r="H45" s="13"/>
      <c r="I45" s="43"/>
      <c r="J45" s="43"/>
      <c r="K45" s="43"/>
      <c r="L45" s="13"/>
      <c r="M45" s="13"/>
    </row>
    <row r="46" spans="1:15" x14ac:dyDescent="0.3">
      <c r="A46" s="55" t="s">
        <v>50</v>
      </c>
      <c r="B46" s="78"/>
      <c r="C46" s="19"/>
      <c r="D46" s="19"/>
      <c r="E46" s="19"/>
      <c r="F46" s="19"/>
      <c r="G46" s="7">
        <f>+B46*E11/1000</f>
        <v>0</v>
      </c>
      <c r="H46" s="13"/>
      <c r="I46" s="43"/>
      <c r="J46" s="43"/>
      <c r="K46" s="43"/>
      <c r="L46" s="13"/>
      <c r="M46" s="13"/>
      <c r="N46" s="79"/>
    </row>
    <row r="47" spans="1:15" x14ac:dyDescent="0.3">
      <c r="A47" s="48"/>
      <c r="B47" s="29"/>
      <c r="C47" s="29"/>
      <c r="D47" s="29"/>
      <c r="E47" s="92" t="s">
        <v>51</v>
      </c>
      <c r="F47" s="92"/>
      <c r="G47" s="80">
        <f>+G38-SUM(G40:G46)</f>
        <v>11231.67830849086</v>
      </c>
      <c r="H47" s="13"/>
      <c r="I47" s="75"/>
      <c r="J47" s="13"/>
      <c r="K47" s="43"/>
      <c r="L47" s="43"/>
      <c r="M47" s="13"/>
    </row>
    <row r="48" spans="1:15" x14ac:dyDescent="0.3">
      <c r="A48" s="81" t="s">
        <v>52</v>
      </c>
      <c r="B48" s="82"/>
      <c r="C48" s="82"/>
      <c r="D48" s="82"/>
      <c r="E48" s="82"/>
      <c r="F48" s="82"/>
      <c r="G48" s="89">
        <f>+G47*8.5</f>
        <v>95469.265622172315</v>
      </c>
      <c r="H48" s="83"/>
      <c r="I48" s="84"/>
      <c r="J48" s="13"/>
      <c r="K48" s="43"/>
      <c r="L48" s="13"/>
      <c r="M48" s="13"/>
      <c r="N48" s="85"/>
    </row>
    <row r="49" spans="1:13" x14ac:dyDescent="0.3">
      <c r="A49" s="19"/>
      <c r="B49" s="19"/>
      <c r="C49" s="19"/>
      <c r="D49" s="19"/>
      <c r="E49" s="19"/>
      <c r="F49" s="19"/>
      <c r="G49" s="19"/>
      <c r="H49" s="83"/>
      <c r="I49" s="84"/>
      <c r="J49" s="13"/>
      <c r="K49" s="43"/>
      <c r="L49" s="13"/>
      <c r="M49" s="13"/>
    </row>
    <row r="50" spans="1:13" x14ac:dyDescent="0.3">
      <c r="A50" s="19"/>
      <c r="B50" s="19"/>
      <c r="C50" s="19"/>
      <c r="D50" s="19"/>
      <c r="E50" s="19"/>
      <c r="F50" s="19"/>
      <c r="G50" s="19"/>
      <c r="H50" s="83"/>
      <c r="I50" s="84"/>
      <c r="J50" s="13"/>
      <c r="K50" s="43"/>
      <c r="L50" s="13"/>
      <c r="M50" s="13"/>
    </row>
    <row r="51" spans="1:13" x14ac:dyDescent="0.3">
      <c r="A51" s="86" t="s">
        <v>53</v>
      </c>
      <c r="B51" s="19"/>
      <c r="C51" s="87" t="s">
        <v>54</v>
      </c>
      <c r="D51" s="88"/>
      <c r="E51" s="19"/>
      <c r="F51" s="93" t="s">
        <v>55</v>
      </c>
      <c r="G51" s="93"/>
      <c r="H51" s="13"/>
      <c r="I51" s="84"/>
      <c r="J51" s="13"/>
      <c r="K51" s="13"/>
      <c r="L51" s="13"/>
      <c r="M51" s="13"/>
    </row>
  </sheetData>
  <mergeCells count="9">
    <mergeCell ref="E37:F37"/>
    <mergeCell ref="E47:F47"/>
    <mergeCell ref="F51:G51"/>
    <mergeCell ref="A5:G5"/>
    <mergeCell ref="B6:F6"/>
    <mergeCell ref="C10:E10"/>
    <mergeCell ref="E22:F22"/>
    <mergeCell ref="E35:F35"/>
    <mergeCell ref="E36:F3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BCL-1613</vt:lpstr>
      <vt:lpstr>BCL-1615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COREi5</dc:creator>
  <cp:lastModifiedBy>Grover ch</cp:lastModifiedBy>
  <cp:lastPrinted>2026-03-30T20:02:54Z</cp:lastPrinted>
  <dcterms:created xsi:type="dcterms:W3CDTF">2025-10-29T14:18:39Z</dcterms:created>
  <dcterms:modified xsi:type="dcterms:W3CDTF">2026-08-07T17:19:46Z</dcterms:modified>
</cp:coreProperties>
</file>